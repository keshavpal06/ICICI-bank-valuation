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1\Downloads\"/>
    </mc:Choice>
  </mc:AlternateContent>
  <xr:revisionPtr revIDLastSave="0" documentId="8_{1669158A-C31F-4683-B909-021798689E9C}" xr6:coauthVersionLast="47" xr6:coauthVersionMax="47" xr10:uidLastSave="{00000000-0000-0000-0000-000000000000}"/>
  <bookViews>
    <workbookView xWindow="-120" yWindow="-120" windowWidth="29040" windowHeight="15720" xr2:uid="{25D57761-C94C-4483-9692-C0DA02F86D31}"/>
  </bookViews>
  <sheets>
    <sheet name="Sheet1" sheetId="1" r:id="rId1"/>
  </sheets>
  <definedNames>
    <definedName name="_xlchart.v1.0" hidden="1">Sheet1!$A$4:$A$9</definedName>
    <definedName name="_xlchart.v1.1" hidden="1">Sheet1!$D$4:$D$9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E13" i="1"/>
  <c r="D13" i="1"/>
  <c r="E12" i="1"/>
  <c r="D12" i="1"/>
  <c r="C12" i="1"/>
  <c r="E11" i="1"/>
  <c r="C11" i="1"/>
  <c r="D11" i="1"/>
  <c r="D9" i="1"/>
  <c r="D4" i="1"/>
  <c r="D5" i="1"/>
  <c r="D6" i="1"/>
  <c r="D8" i="1"/>
  <c r="D7" i="1"/>
</calcChain>
</file>

<file path=xl/sharedStrings.xml><?xml version="1.0" encoding="utf-8"?>
<sst xmlns="http://schemas.openxmlformats.org/spreadsheetml/2006/main" count="15" uniqueCount="15">
  <si>
    <t>Bank</t>
  </si>
  <si>
    <t>P/E</t>
  </si>
  <si>
    <t>P/B</t>
  </si>
  <si>
    <t>ROE</t>
  </si>
  <si>
    <t>Market Cap (₹ Cr)</t>
  </si>
  <si>
    <t>ICICI Bank</t>
  </si>
  <si>
    <t>Kotak Mahindra</t>
  </si>
  <si>
    <t>Axis Bank</t>
  </si>
  <si>
    <t>SBI</t>
  </si>
  <si>
    <t>IndusInd Bank</t>
  </si>
  <si>
    <t>HDFC Bank</t>
  </si>
  <si>
    <t>Peer Average</t>
  </si>
  <si>
    <t>Peer Median</t>
  </si>
  <si>
    <t>ICICI Premium vs Median</t>
  </si>
  <si>
    <r>
      <t xml:space="preserve">ICICI Bank trades at </t>
    </r>
    <r>
      <rPr>
        <b/>
        <sz val="11"/>
        <color theme="1"/>
        <rFont val="Aptos Narrow"/>
        <family val="2"/>
        <scheme val="minor"/>
      </rPr>
      <t>2.73x P/B</t>
    </r>
    <r>
      <rPr>
        <sz val="11"/>
        <color theme="1"/>
        <rFont val="Aptos Narrow"/>
        <family val="2"/>
        <scheme val="minor"/>
      </rPr>
      <t xml:space="preserve">, a </t>
    </r>
    <r>
      <rPr>
        <b/>
        <sz val="11"/>
        <color theme="1"/>
        <rFont val="Aptos Narrow"/>
        <family val="2"/>
        <scheme val="minor"/>
      </rPr>
      <t>40% premium</t>
    </r>
    <r>
      <rPr>
        <sz val="11"/>
        <color theme="1"/>
        <rFont val="Aptos Narrow"/>
        <family val="2"/>
        <scheme val="minor"/>
      </rPr>
      <t xml:space="preserve"> to peer median (</t>
    </r>
    <r>
      <rPr>
        <b/>
        <sz val="11"/>
        <color theme="1"/>
        <rFont val="Aptos Narrow"/>
        <family val="2"/>
        <scheme val="minor"/>
      </rPr>
      <t>1.95x</t>
    </r>
    <r>
      <rPr>
        <sz val="11"/>
        <color theme="1"/>
        <rFont val="Aptos Narrow"/>
        <family val="2"/>
        <scheme val="minor"/>
      </rPr>
      <t xml:space="preserve">), supported by above-median ROE of </t>
    </r>
    <r>
      <rPr>
        <b/>
        <sz val="11"/>
        <color theme="1"/>
        <rFont val="Aptos Narrow"/>
        <family val="2"/>
        <scheme val="minor"/>
      </rPr>
      <t>16.1%</t>
    </r>
    <r>
      <rPr>
        <sz val="11"/>
        <color theme="1"/>
        <rFont val="Aptos Narrow"/>
        <family val="2"/>
        <scheme val="minor"/>
      </rPr>
      <t xml:space="preserve"> vs </t>
    </r>
    <r>
      <rPr>
        <b/>
        <sz val="11"/>
        <color theme="1"/>
        <rFont val="Aptos Narrow"/>
        <family val="2"/>
        <scheme val="minor"/>
      </rPr>
      <t>13.1%</t>
    </r>
    <r>
      <rPr>
        <sz val="11"/>
        <color theme="1"/>
        <rFont val="Aptos Narrow"/>
        <family val="2"/>
        <scheme val="minor"/>
      </rPr>
      <t xml:space="preserve"> peer median, suggesting market confidence in sustained profitability and asset quality improvement.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</si>
</sst>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theme="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2" tint="-0.499984740745262"/>
      </bottom>
      <diagonal/>
    </border>
  </borders>
  <cellStyleXfs count="1">
    <xf numFmtId="0" fontId="0" fillId="0" borderId="0"/>
  </cellStyleXfs>
  <cellXfs count="26">
    <xf numFmtId="0" fontId="0" fillId="0" borderId="0" xfId="0"/>
    <xf numFmtId="10" fontId="0" fillId="0" borderId="0" xfId="0" applyNumberForma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10" fontId="2" fillId="0" borderId="0" xfId="0" applyNumberFormat="1" applyFont="1"/>
    <xf numFmtId="0" fontId="3" fillId="2" borderId="0" xfId="0" applyFont="1" applyFill="1"/>
    <xf numFmtId="2" fontId="3" fillId="2" borderId="0" xfId="0" applyNumberFormat="1" applyFont="1" applyFill="1"/>
    <xf numFmtId="10" fontId="3" fillId="2" borderId="0" xfId="0" applyNumberFormat="1" applyFont="1" applyFill="1"/>
    <xf numFmtId="3" fontId="2" fillId="0" borderId="0" xfId="0" applyNumberFormat="1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0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3" xfId="0" applyFont="1" applyBorder="1"/>
    <xf numFmtId="2" fontId="2" fillId="0" borderId="3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Banking Sector Peer Comparison: Price-to-Book (P/B) Multiples</a:t>
            </a:r>
            <a:endParaRPr lang="en-IN" b="1"/>
          </a:p>
        </c:rich>
      </c:tx>
      <c:layout>
        <c:manualLayout>
          <c:xMode val="edge"/>
          <c:yMode val="edge"/>
          <c:x val="0.13580555555555557"/>
          <c:y val="3.2258064516129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6"/>
                <c:pt idx="0">
                  <c:v>ICICI Bank</c:v>
                </c:pt>
                <c:pt idx="1">
                  <c:v>Kotak Mahindra</c:v>
                </c:pt>
                <c:pt idx="2">
                  <c:v>Axis Bank</c:v>
                </c:pt>
                <c:pt idx="3">
                  <c:v>SBI</c:v>
                </c:pt>
                <c:pt idx="4">
                  <c:v>IndusInd Bank</c:v>
                </c:pt>
                <c:pt idx="5">
                  <c:v>HDFC Bank</c:v>
                </c:pt>
              </c:strCache>
            </c:strRef>
          </c:cat>
          <c:val>
            <c:numRef>
              <c:f>Sheet1!$D$4:$D$9</c:f>
              <c:numCache>
                <c:formatCode>0.00</c:formatCode>
                <c:ptCount val="6"/>
                <c:pt idx="0">
                  <c:v>2.7296222664015906</c:v>
                </c:pt>
                <c:pt idx="1">
                  <c:v>2.1703296703296702</c:v>
                </c:pt>
                <c:pt idx="2">
                  <c:v>1.9508670520231215</c:v>
                </c:pt>
                <c:pt idx="3">
                  <c:v>1.588235294117647</c:v>
                </c:pt>
                <c:pt idx="4">
                  <c:v>1.1068883610451306</c:v>
                </c:pt>
                <c:pt idx="5">
                  <c:v>2.1164021164021163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5-4128-984A-69E74D330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8170191"/>
        <c:axId val="874341999"/>
      </c:barChart>
      <c:catAx>
        <c:axId val="87817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341999"/>
        <c:crosses val="autoZero"/>
        <c:auto val="1"/>
        <c:lblAlgn val="ctr"/>
        <c:lblOffset val="100"/>
        <c:noMultiLvlLbl val="0"/>
      </c:catAx>
      <c:valAx>
        <c:axId val="87434199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87817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14286</xdr:rowOff>
    </xdr:from>
    <xdr:to>
      <xdr:col>16</xdr:col>
      <xdr:colOff>9525</xdr:colOff>
      <xdr:row>15</xdr:row>
      <xdr:rowOff>247649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009EB8-0E87-6637-838A-0D54FAC33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6764-3F1E-4736-85AB-71DD13A1E079}">
  <dimension ref="A1:G16"/>
  <sheetViews>
    <sheetView showGridLines="0" tabSelected="1" workbookViewId="0">
      <selection activeCell="H20" sqref="H20"/>
    </sheetView>
  </sheetViews>
  <sheetFormatPr defaultRowHeight="15" x14ac:dyDescent="0.25"/>
  <cols>
    <col min="1" max="2" width="15.7109375" customWidth="1"/>
    <col min="3" max="4" width="15.7109375" style="2" customWidth="1"/>
    <col min="5" max="5" width="15.7109375" style="1" customWidth="1"/>
    <col min="6" max="6" width="15.7109375" style="2" customWidth="1"/>
  </cols>
  <sheetData>
    <row r="1" spans="1:7" ht="20.100000000000001" customHeight="1" x14ac:dyDescent="0.25"/>
    <row r="2" spans="1:7" ht="20.100000000000001" customHeight="1" x14ac:dyDescent="0.25">
      <c r="A2" s="6" t="s">
        <v>0</v>
      </c>
      <c r="B2" s="6"/>
      <c r="C2" s="7" t="s">
        <v>1</v>
      </c>
      <c r="D2" s="7" t="s">
        <v>2</v>
      </c>
      <c r="E2" s="8" t="s">
        <v>3</v>
      </c>
      <c r="F2" s="7" t="s">
        <v>4</v>
      </c>
    </row>
    <row r="3" spans="1:7" ht="20.100000000000001" customHeight="1" x14ac:dyDescent="0.25">
      <c r="A3" s="3"/>
      <c r="B3" s="3"/>
      <c r="C3" s="4"/>
      <c r="D3" s="4"/>
      <c r="E3" s="5"/>
      <c r="F3" s="4"/>
    </row>
    <row r="4" spans="1:7" ht="20.100000000000001" customHeight="1" x14ac:dyDescent="0.25">
      <c r="A4" s="10" t="s">
        <v>5</v>
      </c>
      <c r="B4" s="3"/>
      <c r="C4" s="11">
        <v>18.2</v>
      </c>
      <c r="D4" s="11">
        <f>1373/503</f>
        <v>2.7296222664015906</v>
      </c>
      <c r="E4" s="12">
        <v>0.161</v>
      </c>
      <c r="F4" s="9">
        <v>984937</v>
      </c>
    </row>
    <row r="5" spans="1:7" ht="20.100000000000001" customHeight="1" x14ac:dyDescent="0.25">
      <c r="A5" s="10" t="s">
        <v>6</v>
      </c>
      <c r="B5" s="3"/>
      <c r="C5" s="11">
        <v>20.6</v>
      </c>
      <c r="D5" s="11">
        <f>395/182</f>
        <v>2.1703296703296702</v>
      </c>
      <c r="E5" s="12">
        <v>0.112</v>
      </c>
      <c r="F5" s="9">
        <v>392447</v>
      </c>
    </row>
    <row r="6" spans="1:7" ht="20.100000000000001" customHeight="1" x14ac:dyDescent="0.25">
      <c r="A6" s="10" t="s">
        <v>7</v>
      </c>
      <c r="B6" s="3"/>
      <c r="C6" s="11">
        <v>16</v>
      </c>
      <c r="D6" s="11">
        <f>1350/692</f>
        <v>1.9508670520231215</v>
      </c>
      <c r="E6" s="12">
        <v>0.13100000000000001</v>
      </c>
      <c r="F6" s="9">
        <v>420078</v>
      </c>
    </row>
    <row r="7" spans="1:7" ht="20.100000000000001" customHeight="1" x14ac:dyDescent="0.25">
      <c r="A7" s="10" t="s">
        <v>8</v>
      </c>
      <c r="B7" s="3"/>
      <c r="C7" s="11">
        <v>11.4</v>
      </c>
      <c r="D7" s="11">
        <f>1026/646</f>
        <v>1.588235294117647</v>
      </c>
      <c r="E7" s="12">
        <v>0.154</v>
      </c>
      <c r="F7" s="9">
        <v>947061</v>
      </c>
    </row>
    <row r="8" spans="1:7" ht="20.100000000000001" customHeight="1" x14ac:dyDescent="0.25">
      <c r="A8" s="10" t="s">
        <v>9</v>
      </c>
      <c r="B8" s="3"/>
      <c r="C8" s="11">
        <v>81.599999999999994</v>
      </c>
      <c r="D8" s="11">
        <f>932/842</f>
        <v>1.1068883610451306</v>
      </c>
      <c r="E8" s="12">
        <v>1.3599999999999999E-2</v>
      </c>
      <c r="F8" s="9">
        <v>72592</v>
      </c>
    </row>
    <row r="9" spans="1:7" ht="20.100000000000001" customHeight="1" x14ac:dyDescent="0.25">
      <c r="A9" s="21" t="s">
        <v>10</v>
      </c>
      <c r="B9" s="22"/>
      <c r="C9" s="23">
        <v>16.2</v>
      </c>
      <c r="D9" s="23">
        <f>800/378</f>
        <v>2.1164021164021163</v>
      </c>
      <c r="E9" s="24">
        <v>0.13800000000000001</v>
      </c>
      <c r="F9" s="25">
        <v>1231798</v>
      </c>
    </row>
    <row r="10" spans="1:7" ht="20.100000000000001" customHeight="1" x14ac:dyDescent="0.25">
      <c r="A10" s="10"/>
      <c r="B10" s="3"/>
      <c r="C10" s="11"/>
      <c r="D10" s="11"/>
      <c r="E10" s="12"/>
      <c r="F10" s="4"/>
    </row>
    <row r="11" spans="1:7" ht="20.100000000000001" customHeight="1" x14ac:dyDescent="0.25">
      <c r="A11" s="13" t="s">
        <v>11</v>
      </c>
      <c r="B11" s="14"/>
      <c r="C11" s="15">
        <f>AVERAGE(C5:C9)</f>
        <v>29.159999999999997</v>
      </c>
      <c r="D11" s="15">
        <f>AVERAGE(D5:D9)</f>
        <v>1.786544498783537</v>
      </c>
      <c r="E11" s="16">
        <f>AVERAGE(E5:E9)</f>
        <v>0.10972</v>
      </c>
      <c r="F11" s="4"/>
    </row>
    <row r="12" spans="1:7" ht="20.100000000000001" customHeight="1" x14ac:dyDescent="0.25">
      <c r="A12" s="10" t="s">
        <v>12</v>
      </c>
      <c r="B12" s="3"/>
      <c r="C12" s="11">
        <f>MEDIAN(C5:C9)</f>
        <v>16.2</v>
      </c>
      <c r="D12" s="11">
        <f>MEDIAN(D5:D9)</f>
        <v>1.9508670520231215</v>
      </c>
      <c r="E12" s="12">
        <f>MEDIAN(E5:E9)</f>
        <v>0.13100000000000001</v>
      </c>
      <c r="F12" s="4"/>
    </row>
    <row r="13" spans="1:7" ht="20.100000000000001" customHeight="1" thickBot="1" x14ac:dyDescent="0.3">
      <c r="A13" s="17" t="s">
        <v>13</v>
      </c>
      <c r="B13" s="18"/>
      <c r="C13" s="19">
        <f>(C4-C12)/C12</f>
        <v>0.1234567901234568</v>
      </c>
      <c r="D13" s="19">
        <f>(D4-D12)/D12</f>
        <v>0.39918415433325966</v>
      </c>
      <c r="E13" s="19">
        <f>(E4-E12)/E12</f>
        <v>0.22900763358778625</v>
      </c>
      <c r="F13" s="4"/>
    </row>
    <row r="14" spans="1:7" ht="20.100000000000001" customHeight="1" thickTop="1" x14ac:dyDescent="0.25"/>
    <row r="15" spans="1:7" ht="20.100000000000001" customHeight="1" x14ac:dyDescent="0.25">
      <c r="A15" s="20" t="s">
        <v>14</v>
      </c>
      <c r="B15" s="20"/>
      <c r="C15" s="20"/>
      <c r="D15" s="20"/>
      <c r="E15" s="20"/>
      <c r="F15" s="20"/>
      <c r="G15" s="20"/>
    </row>
    <row r="16" spans="1:7" ht="20.100000000000001" customHeight="1" x14ac:dyDescent="0.25">
      <c r="A16" s="20"/>
      <c r="B16" s="20"/>
      <c r="C16" s="20"/>
      <c r="D16" s="20"/>
      <c r="E16" s="20"/>
      <c r="F16" s="20"/>
      <c r="G16" s="20"/>
    </row>
  </sheetData>
  <mergeCells count="1">
    <mergeCell ref="A15:G16"/>
  </mergeCells>
  <pageMargins left="0.7" right="0.7" top="0.75" bottom="0.75" header="0.3" footer="0.3"/>
  <ignoredErrors>
    <ignoredError sqref="C11:C12 E11:E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MSI1</dc:creator>
  <cp:lastModifiedBy>MSI1</cp:lastModifiedBy>
  <dcterms:created xsi:type="dcterms:W3CDTF">2026-07-01T04:03:23Z</dcterms:created>
  <dcterms:modified xsi:type="dcterms:W3CDTF">2026-07-01T06:35:04Z</dcterms:modified>
</cp:coreProperties>
</file>